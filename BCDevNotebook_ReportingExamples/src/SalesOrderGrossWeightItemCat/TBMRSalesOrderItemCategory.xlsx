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_tonyabriccomeske\BCDevNotebook\BCDevNotebook_ReportingExamples\src\SalesOrderGrossWeightItemCat\"/>
    </mc:Choice>
  </mc:AlternateContent>
  <xr:revisionPtr revIDLastSave="0" documentId="13_ncr:1_{27D7F908-8090-43FE-9F18-44810EE97B9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owerQuery" sheetId="6" r:id="rId1"/>
    <sheet name="DynamicArray" sheetId="7" r:id="rId2"/>
    <sheet name="Data" sheetId="1" r:id="rId3"/>
    <sheet name="CaptionData" sheetId="2" r:id="rId4"/>
    <sheet name="Aggregated Metadata" sheetId="3" r:id="rId5"/>
    <sheet name="TranslationData" sheetId="4" state="hidden" r:id="rId6"/>
  </sheets>
  <definedNames>
    <definedName name="ExternalData_1" localSheetId="0" hidden="1">PowerQuery!$A$1:$H$2</definedName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definedName>
    <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Value]],"none",)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definedName>
    <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Value]],"none",)</definedName>
    <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Value]],"none",)</definedName>
    <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Value]],"none",)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definedName>
    <definedName name="RSMCompanyId">_xlfn.XLOOKUP("Company Id",ReportRequestValues[[#All],[Request Property]],ReportRequestValues[[#All],[Request Property Value]],"none",)</definedName>
    <definedName name="RSMCompanyName">_xlfn.XLOOKUP("Company name",ReportRequestValues[[#All],[Request Property]],ReportRequestValues[[#All],[Request Property Value]],"none",)</definedName>
    <definedName name="RSMEnvironmentName">_xlfn.XLOOKUP("Environment name",ReportRequestValues[[#All],[Request Property]],ReportRequestValues[[#All],[Request Property Value]],"none",)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7" l="1" a="1"/>
  <c r="A2" i="7" s="1"/>
  <c r="H2" i="7" l="1" a="1"/>
  <c r="H2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4C9A83-4C98-46F3-8614-5663504F470D}" keepAlive="1" name="Query - Data" description="Connection to the 'Data' query in the workbook." type="5" refreshedVersion="8" background="1" refreshOnLoad="1" saveData="1">
    <dbPr connection="Provider=Microsoft.Mashup.OleDb.1;Data Source=$Workbook$;Location=Data;Extended Properties=&quot;&quot;" command="SELECT * FROM [Dat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<sst xmlns="http://schemas.openxmlformats.org/spreadsheetml/2006/main" count="198" uniqueCount="80">
  <si>
    <t>DocumentType</t>
  </si>
  <si>
    <t>DocumentNo</t>
  </si>
  <si>
    <t>SelltoCustomerNo</t>
  </si>
  <si>
    <t>OrderDate</t>
  </si>
  <si>
    <t>ShippingAgentCode</t>
  </si>
  <si>
    <t>ShippingAgentServiceCode</t>
  </si>
  <si>
    <t>LocationCode</t>
  </si>
  <si>
    <t>Quantity</t>
  </si>
  <si>
    <t>Gross_Weight</t>
  </si>
  <si>
    <t>ItemCategoryCode</t>
  </si>
  <si>
    <t/>
  </si>
  <si>
    <t>1</t>
  </si>
  <si>
    <t>Caption</t>
  </si>
  <si>
    <t>Value</t>
  </si>
  <si>
    <t>Report Property</t>
  </si>
  <si>
    <t>Report Property Value</t>
  </si>
  <si>
    <t>Request Property</t>
  </si>
  <si>
    <t>Request Property Value</t>
  </si>
  <si>
    <t>Request Page Option</t>
  </si>
  <si>
    <t>Request Page Option Value</t>
  </si>
  <si>
    <t>Filter</t>
  </si>
  <si>
    <t>Filter Value</t>
  </si>
  <si>
    <t>Extension ID</t>
  </si>
  <si>
    <t>Tenant Id</t>
  </si>
  <si>
    <t>SalesHeader::Sales Header::2::Document Type</t>
  </si>
  <si>
    <t>Extension Name</t>
  </si>
  <si>
    <t>Environment name</t>
  </si>
  <si>
    <t>SalesLine::Sales Line::2::Type</t>
  </si>
  <si>
    <t>2</t>
  </si>
  <si>
    <t>Extension Publisher</t>
  </si>
  <si>
    <t>Environment type</t>
  </si>
  <si>
    <t>Sandbox</t>
  </si>
  <si>
    <t>SalesLine::Sales Line::4::Document Type</t>
  </si>
  <si>
    <t>Extension Version</t>
  </si>
  <si>
    <t>Company name</t>
  </si>
  <si>
    <t>SalesLine::Sales Line::4::Document No.</t>
  </si>
  <si>
    <t>Object ID</t>
  </si>
  <si>
    <t>Company Id</t>
  </si>
  <si>
    <t>Item::Item::4::No.</t>
  </si>
  <si>
    <t>Object Name</t>
  </si>
  <si>
    <t>User name</t>
  </si>
  <si>
    <t>About This Report Title</t>
  </si>
  <si>
    <t>Date</t>
  </si>
  <si>
    <t>About This Report Text</t>
  </si>
  <si>
    <t>Language</t>
  </si>
  <si>
    <t>Report help link</t>
  </si>
  <si>
    <t>Format Region</t>
  </si>
  <si>
    <t>CaptionKey</t>
  </si>
  <si>
    <t>SalesLine::Sales Line::2::Quantity</t>
  </si>
  <si>
    <t>&gt;0</t>
  </si>
  <si>
    <t>Sum Gross Weight</t>
  </si>
  <si>
    <t>S-ORD101009</t>
  </si>
  <si>
    <t>883bb67e-3310-4309-9ee3-7e337027ee06</t>
  </si>
  <si>
    <t>Tenant Entra Id</t>
  </si>
  <si>
    <t>bcf57f79-06ba-4b10-92b6-a7c95d13dd54</t>
  </si>
  <si>
    <t>BCDevNotebook_ReportingExamples by Tonya Bricco-Meske</t>
  </si>
  <si>
    <t>msft1a6720t22917560</t>
  </si>
  <si>
    <t>Tonya Bricco-Meske</t>
  </si>
  <si>
    <t>Tonya</t>
  </si>
  <si>
    <t>1.0.0.0</t>
  </si>
  <si>
    <t>CRONUS USA, Inc.</t>
  </si>
  <si>
    <t>TBMR_SalesOrderItemCategory</t>
  </si>
  <si>
    <t>Company display name</t>
  </si>
  <si>
    <t>S-100</t>
  </si>
  <si>
    <t>162915c7-5408-f011-9af6-6045bde9c6b1</t>
  </si>
  <si>
    <t>This report shows the Gross Weight of Sales Orders broken down by Item Category.</t>
  </si>
  <si>
    <t>http://www.bcdevnotebook.com/resources/</t>
  </si>
  <si>
    <t>en-US</t>
  </si>
  <si>
    <t>Layout name</t>
  </si>
  <si>
    <t>Excel</t>
  </si>
  <si>
    <t>Layout caption</t>
  </si>
  <si>
    <t>Excel Layout</t>
  </si>
  <si>
    <t>Layout id</t>
  </si>
  <si>
    <t>473b4ba6-150d-4d71-a104-92e8de720f71</t>
  </si>
  <si>
    <t>Sell To Customer No.</t>
  </si>
  <si>
    <t>Order Date</t>
  </si>
  <si>
    <t>Shipping Agent Code</t>
  </si>
  <si>
    <t>Shipping Agent Service Code</t>
  </si>
  <si>
    <t>Location Code</t>
  </si>
  <si>
    <t>Item Category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</si>
</sst>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"/>
  </numFmts>
  <fonts count="3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0" xfId="0" applyNumberFormat="1" applyFont="1" applyFill="1"/>
    <xf numFmtId="14" fontId="0" fillId="0" borderId="0" xfId="0" applyNumberFormat="1"/>
    <xf numFmtId="14" fontId="2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6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E2F59B3F-6989-4F0B-B24A-220D0F60B2B9}" autoFormatId="16" applyNumberFormats="0" applyBorderFormats="0" applyFontFormats="0" applyPatternFormats="0" applyAlignmentFormats="0" applyWidthHeightFormats="0">
  <queryTableRefresh nextId="10">
    <queryTableFields count="8">
      <queryTableField id="1" name="DocumentNo" tableColumnId="1"/>
      <queryTableField id="2" name="SelltoCustomerNo" tableColumnId="2"/>
      <queryTableField id="3" name="OrderDate" tableColumnId="3"/>
      <queryTableField id="4" name="ShippingAgentCode" tableColumnId="4"/>
      <queryTableField id="5" name="ShippingAgentServiceCode" tableColumnId="5"/>
      <queryTableField id="6" name="LocationCode" tableColumnId="6"/>
      <queryTableField id="7" name="ItemCategoryCode" tableColumnId="7"/>
      <queryTableField id="9" name="Sum Gross Weigh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91EA07F-8818-492A-8226-837ABDC60B40}" name="Data_1" displayName="Data_1" ref="A1:H2" tableType="queryTable" totalsRowShown="0">
  <autoFilter ref="A1:H2" xr:uid="{F91EA07F-8818-492A-8226-837ABDC60B40}"/>
  <tableColumns count="8">
    <tableColumn id="1" xr3:uid="{03FC982F-8791-41A6-9C58-42E1509995DC}" uniqueName="1" name="DocumentNo" queryTableFieldId="1" dataDxfId="5"/>
    <tableColumn id="2" xr3:uid="{1D1B241C-971D-46F0-B2B3-FA3E201445F3}" uniqueName="2" name="SelltoCustomerNo" queryTableFieldId="2" dataDxfId="4"/>
    <tableColumn id="3" xr3:uid="{FC36CBE5-F43E-4820-9EF6-7C31AE07ECDB}" uniqueName="3" name="OrderDate" queryTableFieldId="3" dataDxfId="0"/>
    <tableColumn id="4" xr3:uid="{8019D30F-BCC0-4C0C-AA8E-99405A41FC86}" uniqueName="4" name="ShippingAgentCode" queryTableFieldId="4" dataDxfId="3"/>
    <tableColumn id="5" xr3:uid="{341A9CEA-B75D-483A-8AAB-8247DF863145}" uniqueName="5" name="ShippingAgentServiceCode" queryTableFieldId="5"/>
    <tableColumn id="6" xr3:uid="{935D3A47-9AF3-45C2-A536-C84172952350}" uniqueName="6" name="LocationCode" queryTableFieldId="6" dataDxfId="2"/>
    <tableColumn id="7" xr3:uid="{D7FFD6BE-7F05-4778-B748-D08AA0209C37}" uniqueName="7" name="ItemCategoryCode" queryTableFieldId="7" dataDxfId="1"/>
    <tableColumn id="8" xr3:uid="{D61C9DAF-780B-44B6-A9D7-636FB161FD4F}" uniqueName="8" name="Sum Gross Weight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J13" totalsRowShown="0">
  <autoFilter ref="A1:J13" xr:uid="{00000000-0009-0000-0100-000001000000}"/>
  <tableColumns count="10">
    <tableColumn id="1" xr3:uid="{00000000-0010-0000-0000-000001000000}" name="DocumentType"/>
    <tableColumn id="2" xr3:uid="{00000000-0010-0000-0000-000002000000}" name="DocumentNo"/>
    <tableColumn id="3" xr3:uid="{00000000-0010-0000-0000-000003000000}" name="SelltoCustomerNo"/>
    <tableColumn id="4" xr3:uid="{00000000-0010-0000-0000-000004000000}" name="OrderDate"/>
    <tableColumn id="5" xr3:uid="{00000000-0010-0000-0000-000005000000}" name="ShippingAgentCode"/>
    <tableColumn id="6" xr3:uid="{00000000-0010-0000-0000-000006000000}" name="ShippingAgentServiceCode"/>
    <tableColumn id="7" xr3:uid="{00000000-0010-0000-0000-000007000000}" name="LocationCode"/>
    <tableColumn id="8" xr3:uid="{00000000-0010-0000-0000-000008000000}" name="Quantity"/>
    <tableColumn id="9" xr3:uid="{00000000-0010-0000-0000-000009000000}" name="Gross_Weight"/>
    <tableColumn id="10" xr3:uid="{00000000-0010-0000-0000-00000A000000}" name="ItemCategory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ptionData" displayName="CaptionData" ref="A1:B2" totalsRowShown="0">
  <autoFilter ref="A1:B2" xr:uid="{00000000-0009-0000-0100-000002000000}"/>
  <tableColumns count="2">
    <tableColumn id="1" xr3:uid="{00000000-0010-0000-0200-000001000000}" name="Caption"/>
    <tableColumn id="2" xr3:uid="{00000000-0010-0000-0200-000002000000}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portMetadataValues" displayName="ReportMetadataValues" ref="A1:B10" totalsRowShown="0">
  <autoFilter ref="A1:B10" xr:uid="{00000000-0009-0000-0100-000003000000}"/>
  <tableColumns count="2">
    <tableColumn id="1" xr3:uid="{00000000-0010-0000-0300-000001000000}" name="Report Property"/>
    <tableColumn id="2" xr3:uid="{00000000-0010-0000-0300-000002000000}" name="Report Property 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portRequestValues" displayName="ReportRequestValues" ref="D1:E15" totalsRowShown="0">
  <autoFilter ref="D1:E15" xr:uid="{00000000-0009-0000-0100-000004000000}"/>
  <tableColumns count="2">
    <tableColumn id="1" xr3:uid="{00000000-0010-0000-0400-000001000000}" name="Request Property"/>
    <tableColumn id="2" xr3:uid="{00000000-0010-0000-0400-000002000000}" name="Request Property 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portRequestPageValues" displayName="ReportRequestPageValues" ref="G1:H2" totalsRowShown="0">
  <autoFilter ref="G1:H2" xr:uid="{00000000-0009-0000-0100-000005000000}"/>
  <tableColumns count="2">
    <tableColumn id="1" xr3:uid="{00000000-0010-0000-0500-000001000000}" name="Request Page Option"/>
    <tableColumn id="2" xr3:uid="{00000000-0010-0000-0500-000002000000}" name="Request Page Option 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portFilterValues" displayName="ReportFilterValues" ref="J1:K7" totalsRowShown="0">
  <autoFilter ref="J1:K7" xr:uid="{00000000-0009-0000-0100-000006000000}"/>
  <tableColumns count="2">
    <tableColumn id="1" xr3:uid="{00000000-0010-0000-0600-000001000000}" name="Filter"/>
    <tableColumn id="2" xr3:uid="{00000000-0010-0000-0600-000002000000}" name="Filter Val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ranslationData" displayName="TranslationData" ref="A1:C2" totalsRowShown="0">
  <autoFilter ref="A1:C2" xr:uid="{00000000-0009-0000-0100-000007000000}"/>
  <tableColumns count="3">
    <tableColumn id="1" xr3:uid="{00000000-0010-0000-0600-000001000000}" name="CaptionKey"/>
    <tableColumn id="2" xr3:uid="{00000000-0010-0000-0600-000002000000}" name="Language"/>
    <tableColumn id="3" xr3:uid="{00000000-0010-0000-0600-000003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7EFD6-3DFD-427F-99ED-F02022191046}">
  <dimension ref="A1:H2"/>
  <sheetViews>
    <sheetView workbookViewId="0">
      <selection activeCell="M13" sqref="M13"/>
    </sheetView>
  </sheetViews>
  <sheetFormatPr defaultRowHeight="15" x14ac:dyDescent="0.25"/>
  <cols>
    <col min="1" max="1" width="15.42578125" bestFit="1" customWidth="1"/>
    <col min="2" max="2" width="20.42578125" bestFit="1" customWidth="1"/>
    <col min="3" max="3" width="12.7109375" bestFit="1" customWidth="1"/>
    <col min="4" max="4" width="21.42578125" bestFit="1" customWidth="1"/>
    <col min="5" max="5" width="28.42578125" bestFit="1" customWidth="1"/>
    <col min="6" max="6" width="16" bestFit="1" customWidth="1"/>
    <col min="7" max="7" width="20.7109375" bestFit="1" customWidth="1"/>
    <col min="8" max="8" width="20.140625" bestFit="1" customWidth="1"/>
    <col min="9" max="9" width="21.14062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9</v>
      </c>
      <c r="H1" t="s">
        <v>50</v>
      </c>
    </row>
    <row r="2" spans="1:8" x14ac:dyDescent="0.25">
      <c r="C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E8B43-50EF-4235-AF35-25777ABDFA0F}">
  <dimension ref="A1:H16"/>
  <sheetViews>
    <sheetView tabSelected="1" workbookViewId="0">
      <selection activeCell="A2" sqref="A2"/>
    </sheetView>
  </sheetViews>
  <sheetFormatPr defaultRowHeight="15" x14ac:dyDescent="0.25"/>
  <cols>
    <col min="1" max="1" width="13.140625" bestFit="1" customWidth="1"/>
    <col min="2" max="2" width="20.28515625" bestFit="1" customWidth="1"/>
    <col min="3" max="3" width="10.85546875" style="2" bestFit="1" customWidth="1"/>
    <col min="4" max="4" width="20" bestFit="1" customWidth="1"/>
    <col min="5" max="5" width="27.42578125" bestFit="1" customWidth="1"/>
    <col min="6" max="6" width="13.7109375" bestFit="1" customWidth="1"/>
    <col min="7" max="7" width="18.42578125" style="2" bestFit="1" customWidth="1"/>
    <col min="8" max="8" width="17.85546875" bestFit="1" customWidth="1"/>
    <col min="9" max="9" width="26.140625" bestFit="1" customWidth="1"/>
    <col min="10" max="10" width="13.7109375" bestFit="1" customWidth="1"/>
    <col min="11" max="11" width="18.42578125" bestFit="1" customWidth="1"/>
    <col min="12" max="12" width="17.85546875" bestFit="1" customWidth="1"/>
    <col min="14" max="14" width="13.140625" bestFit="1" customWidth="1"/>
    <col min="15" max="15" width="13.7109375" bestFit="1" customWidth="1"/>
    <col min="16" max="16" width="18.42578125" bestFit="1" customWidth="1"/>
    <col min="17" max="17" width="17.85546875" bestFit="1" customWidth="1"/>
  </cols>
  <sheetData>
    <row r="1" spans="1:8" x14ac:dyDescent="0.25">
      <c r="A1" s="6" t="s">
        <v>1</v>
      </c>
      <c r="B1" s="6" t="s">
        <v>74</v>
      </c>
      <c r="C1" s="7" t="s">
        <v>75</v>
      </c>
      <c r="D1" s="6" t="s">
        <v>76</v>
      </c>
      <c r="E1" s="6" t="s">
        <v>77</v>
      </c>
      <c r="F1" s="6" t="s">
        <v>78</v>
      </c>
      <c r="G1" s="6" t="s">
        <v>79</v>
      </c>
      <c r="H1" s="6" t="s">
        <v>50</v>
      </c>
    </row>
    <row r="2" spans="1:8" x14ac:dyDescent="0.25">
      <c r="A2" cm="1">
        <f t="array" ref="A2:G2">_xlfn.UNIQUE(CHOOSE({1,2,3,4,5,6,7},IF(Data[DocumentNo]="NULL","",Data[DocumentNo]),IF(Data[SelltoCustomerNo]="NULL","",Data[SelltoCustomerNo]),IF(Data[OrderDate]="NULL","",Data[OrderDate]),IF(Data[ShippingAgentCode]="NULL","",Data[ShippingAgentCode]),IF(Data[ShippingAgentServiceCode]="NULL","",Data[ShippingAgentServiceCode]),IF(Data[LocationCode]="NULL","",Data[LocationCode]),IF(Data[ItemCategoryCode]="NULL","",Data[ItemCategoryCode])))</f>
        <v>0</v>
      </c>
      <c r="B2">
        <v>0</v>
      </c>
      <c r="C2" s="2">
        <v>0</v>
      </c>
      <c r="D2">
        <v>0</v>
      </c>
      <c r="E2">
        <v>0</v>
      </c>
      <c r="F2">
        <v>0</v>
      </c>
      <c r="G2">
        <v>0</v>
      </c>
      <c r="H2" cm="1">
        <f t="array" ref="H2">_xlfn.BYROW(_xlfn.ANCHORARRAY(A2),_xlfn.LAMBDA(_xlpm.row,SUMIFS(Data[Gross_Weight],Data[DocumentNo],INDEX(_xlpm.row,1),Data[SelltoCustomerNo],INDEX(_xlpm.row,2),Data[OrderDate],IF(INDEX(_xlpm.row,3)="","NULL",INDEX(_xlpm.row,3)),Data[ShippingAgentCode],INDEX(_xlpm.row,4),Data[ShippingAgentServiceCode],INDEX(_xlpm.row,5),Data[LocationCode],INDEX(_xlpm.row,6),Data[ItemCategoryCode],INDEX(_xlpm.row,7))))</f>
        <v>0</v>
      </c>
    </row>
    <row r="3" spans="1:8" x14ac:dyDescent="0.25">
      <c r="G3"/>
    </row>
    <row r="4" spans="1:8" x14ac:dyDescent="0.25">
      <c r="G4"/>
    </row>
    <row r="5" spans="1:8" x14ac:dyDescent="0.25">
      <c r="G5"/>
    </row>
    <row r="6" spans="1:8" x14ac:dyDescent="0.25">
      <c r="G6"/>
    </row>
    <row r="7" spans="1:8" x14ac:dyDescent="0.25">
      <c r="G7"/>
    </row>
    <row r="8" spans="1:8" x14ac:dyDescent="0.25">
      <c r="G8"/>
    </row>
    <row r="9" spans="1:8" x14ac:dyDescent="0.25">
      <c r="G9"/>
    </row>
    <row r="10" spans="1:8" x14ac:dyDescent="0.25">
      <c r="G10"/>
    </row>
    <row r="11" spans="1:8" x14ac:dyDescent="0.25">
      <c r="G11"/>
    </row>
    <row r="16" spans="1:8" x14ac:dyDescent="0.25">
      <c r="E1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6.140625" bestFit="1" customWidth="1"/>
    <col min="2" max="2" width="14.42578125" bestFit="1" customWidth="1"/>
    <col min="3" max="3" width="18.7109375" bestFit="1" customWidth="1"/>
    <col min="4" max="4" width="12" bestFit="1" customWidth="1"/>
    <col min="5" max="5" width="20" bestFit="1" customWidth="1"/>
    <col min="6" max="6" width="26.28515625" bestFit="1" customWidth="1"/>
    <col min="7" max="7" width="14.7109375" bestFit="1" customWidth="1"/>
    <col min="8" max="8" width="10.42578125" bestFit="1" customWidth="1"/>
    <col min="9" max="9" width="15.140625" bestFit="1" customWidth="1"/>
    <col min="10" max="10" width="1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4"/>
      <c r="B2" s="4"/>
      <c r="C2" s="4"/>
      <c r="D2" s="3"/>
      <c r="E2" s="4"/>
      <c r="F2" s="4"/>
      <c r="G2" s="4"/>
      <c r="H2" s="5"/>
      <c r="I2" s="5"/>
      <c r="J2" s="4"/>
    </row>
    <row r="3" spans="1:10" x14ac:dyDescent="0.25">
      <c r="A3" s="4"/>
      <c r="B3" s="4"/>
      <c r="C3" s="4"/>
      <c r="D3" s="3"/>
      <c r="E3" s="4"/>
      <c r="F3" s="4"/>
      <c r="G3" s="4"/>
      <c r="H3" s="5"/>
      <c r="I3" s="5"/>
      <c r="J3" s="4"/>
    </row>
    <row r="4" spans="1:10" x14ac:dyDescent="0.25">
      <c r="A4" s="4"/>
      <c r="B4" s="4"/>
      <c r="C4" s="4"/>
      <c r="D4" s="3"/>
      <c r="E4" s="4"/>
      <c r="F4" s="4"/>
      <c r="G4" s="4"/>
      <c r="H4" s="5"/>
      <c r="I4" s="5"/>
      <c r="J4" s="4"/>
    </row>
    <row r="5" spans="1:10" x14ac:dyDescent="0.25">
      <c r="A5" s="4"/>
      <c r="B5" s="4"/>
      <c r="C5" s="4"/>
      <c r="D5" s="3"/>
      <c r="E5" s="4"/>
      <c r="F5" s="4"/>
      <c r="G5" s="4"/>
      <c r="H5" s="5"/>
      <c r="I5" s="5"/>
      <c r="J5" s="4"/>
    </row>
    <row r="6" spans="1:10" x14ac:dyDescent="0.25">
      <c r="A6" s="4"/>
      <c r="B6" s="4"/>
      <c r="C6" s="4"/>
      <c r="D6" s="3"/>
      <c r="E6" s="4"/>
      <c r="F6" s="4"/>
      <c r="G6" s="4"/>
      <c r="H6" s="5"/>
      <c r="I6" s="5"/>
      <c r="J6" s="4"/>
    </row>
    <row r="7" spans="1:10" x14ac:dyDescent="0.25">
      <c r="A7" s="4"/>
      <c r="B7" s="4"/>
      <c r="C7" s="4"/>
      <c r="D7" s="3"/>
      <c r="E7" s="4"/>
      <c r="F7" s="4"/>
      <c r="G7" s="4"/>
      <c r="H7" s="5"/>
      <c r="I7" s="5"/>
      <c r="J7" s="4"/>
    </row>
    <row r="8" spans="1:10" x14ac:dyDescent="0.25">
      <c r="A8" s="4"/>
      <c r="B8" s="4"/>
      <c r="C8" s="4"/>
      <c r="D8" s="3"/>
      <c r="E8" s="4"/>
      <c r="F8" s="4"/>
      <c r="G8" s="4"/>
      <c r="H8" s="5"/>
      <c r="I8" s="5"/>
      <c r="J8" s="4"/>
    </row>
    <row r="9" spans="1:10" x14ac:dyDescent="0.25">
      <c r="A9" s="4"/>
      <c r="B9" s="4"/>
      <c r="C9" s="4"/>
      <c r="D9" s="3"/>
      <c r="E9" s="4"/>
      <c r="F9" s="4"/>
      <c r="G9" s="4"/>
      <c r="H9" s="5"/>
      <c r="I9" s="5"/>
      <c r="J9" s="4"/>
    </row>
    <row r="10" spans="1:10" x14ac:dyDescent="0.25">
      <c r="A10" s="4"/>
      <c r="B10" s="4"/>
      <c r="C10" s="4"/>
      <c r="D10" s="3"/>
      <c r="E10" s="4"/>
      <c r="F10" s="4"/>
      <c r="G10" s="4"/>
      <c r="H10" s="5"/>
      <c r="I10" s="5"/>
      <c r="J10" s="4"/>
    </row>
    <row r="11" spans="1:10" x14ac:dyDescent="0.25">
      <c r="A11" s="4"/>
      <c r="B11" s="4"/>
      <c r="C11" s="4"/>
      <c r="D11" s="3"/>
      <c r="E11" s="4"/>
      <c r="F11" s="4"/>
      <c r="G11" s="4"/>
      <c r="H11" s="5"/>
      <c r="I11" s="5"/>
      <c r="J11" s="4"/>
    </row>
    <row r="12" spans="1:10" x14ac:dyDescent="0.25">
      <c r="A12" s="4"/>
      <c r="B12" s="4"/>
      <c r="C12" s="4"/>
      <c r="D12" s="3"/>
      <c r="E12" s="4"/>
      <c r="F12" s="4"/>
      <c r="G12" s="4"/>
      <c r="H12" s="5"/>
      <c r="I12" s="5"/>
      <c r="J12" s="4"/>
    </row>
    <row r="13" spans="1:10" x14ac:dyDescent="0.25">
      <c r="A13" s="4"/>
      <c r="B13" s="4"/>
      <c r="C13" s="4"/>
      <c r="D13" s="3"/>
      <c r="E13" s="4"/>
      <c r="F13" s="4"/>
      <c r="G13" s="4"/>
      <c r="H13" s="5"/>
      <c r="I13" s="5"/>
      <c r="J13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cols>
    <col min="1" max="1" width="25" customWidth="1"/>
    <col min="2" max="2" width="40" customWidth="1"/>
  </cols>
  <sheetData>
    <row r="1" spans="1:2" x14ac:dyDescent="0.25">
      <c r="A1" s="1" t="s">
        <v>12</v>
      </c>
      <c r="B1" s="1" t="s">
        <v>13</v>
      </c>
    </row>
    <row r="2" spans="1:2" x14ac:dyDescent="0.25">
      <c r="A2" t="s">
        <v>10</v>
      </c>
      <c r="B2" t="s">
        <v>10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"/>
  <sheetViews>
    <sheetView workbookViewId="0"/>
  </sheetViews>
  <sheetFormatPr defaultRowHeight="15" x14ac:dyDescent="0.25"/>
  <cols>
    <col min="1" max="1" width="25" customWidth="1"/>
    <col min="2" max="2" width="40" customWidth="1"/>
    <col min="3" max="3" width="5" customWidth="1"/>
    <col min="4" max="4" width="25" customWidth="1"/>
    <col min="5" max="5" width="40" customWidth="1"/>
    <col min="6" max="6" width="5" customWidth="1"/>
    <col min="7" max="7" width="25" customWidth="1"/>
    <col min="8" max="8" width="40" customWidth="1"/>
    <col min="9" max="9" width="5" customWidth="1"/>
    <col min="10" max="10" width="50" customWidth="1"/>
    <col min="11" max="11" width="40" customWidth="1"/>
  </cols>
  <sheetData>
    <row r="1" spans="1:11" x14ac:dyDescent="0.25">
      <c r="A1" s="1" t="s">
        <v>14</v>
      </c>
      <c r="B1" s="1" t="s">
        <v>15</v>
      </c>
      <c r="C1" s="1" t="s">
        <v>10</v>
      </c>
      <c r="D1" s="1" t="s">
        <v>16</v>
      </c>
      <c r="E1" s="1" t="s">
        <v>17</v>
      </c>
      <c r="F1" s="1" t="s">
        <v>10</v>
      </c>
      <c r="G1" s="1" t="s">
        <v>18</v>
      </c>
      <c r="H1" s="1" t="s">
        <v>19</v>
      </c>
      <c r="I1" s="1" t="s">
        <v>10</v>
      </c>
      <c r="J1" s="1" t="s">
        <v>20</v>
      </c>
      <c r="K1" s="1" t="s">
        <v>21</v>
      </c>
    </row>
    <row r="2" spans="1:11" x14ac:dyDescent="0.25">
      <c r="A2" t="s">
        <v>22</v>
      </c>
      <c r="B2" t="s">
        <v>52</v>
      </c>
      <c r="C2" t="s">
        <v>10</v>
      </c>
      <c r="D2" t="s">
        <v>53</v>
      </c>
      <c r="E2" t="s">
        <v>54</v>
      </c>
      <c r="F2" t="s">
        <v>10</v>
      </c>
      <c r="G2" t="s">
        <v>10</v>
      </c>
      <c r="H2" t="s">
        <v>10</v>
      </c>
      <c r="I2" t="s">
        <v>10</v>
      </c>
      <c r="J2" t="s">
        <v>24</v>
      </c>
      <c r="K2" t="s">
        <v>11</v>
      </c>
    </row>
    <row r="3" spans="1:11" x14ac:dyDescent="0.25">
      <c r="A3" t="s">
        <v>25</v>
      </c>
      <c r="B3" t="s">
        <v>55</v>
      </c>
      <c r="C3" t="s">
        <v>10</v>
      </c>
      <c r="D3" t="s">
        <v>23</v>
      </c>
      <c r="E3" t="s">
        <v>56</v>
      </c>
      <c r="F3" t="s">
        <v>10</v>
      </c>
      <c r="G3" t="s">
        <v>10</v>
      </c>
      <c r="H3" t="s">
        <v>10</v>
      </c>
      <c r="I3" t="s">
        <v>10</v>
      </c>
      <c r="J3" t="s">
        <v>27</v>
      </c>
      <c r="K3" t="s">
        <v>28</v>
      </c>
    </row>
    <row r="4" spans="1:11" x14ac:dyDescent="0.25">
      <c r="A4" t="s">
        <v>29</v>
      </c>
      <c r="B4" t="s">
        <v>57</v>
      </c>
      <c r="C4" t="s">
        <v>10</v>
      </c>
      <c r="D4" t="s">
        <v>26</v>
      </c>
      <c r="E4" t="s">
        <v>58</v>
      </c>
      <c r="F4" t="s">
        <v>10</v>
      </c>
      <c r="G4" t="s">
        <v>10</v>
      </c>
      <c r="H4" t="s">
        <v>10</v>
      </c>
      <c r="I4" t="s">
        <v>10</v>
      </c>
      <c r="J4" t="s">
        <v>48</v>
      </c>
      <c r="K4" t="s">
        <v>49</v>
      </c>
    </row>
    <row r="5" spans="1:11" x14ac:dyDescent="0.25">
      <c r="A5" t="s">
        <v>33</v>
      </c>
      <c r="B5" t="s">
        <v>59</v>
      </c>
      <c r="C5" t="s">
        <v>10</v>
      </c>
      <c r="D5" t="s">
        <v>30</v>
      </c>
      <c r="E5" t="s">
        <v>31</v>
      </c>
      <c r="F5" t="s">
        <v>10</v>
      </c>
      <c r="G5" t="s">
        <v>10</v>
      </c>
      <c r="H5" t="s">
        <v>10</v>
      </c>
      <c r="I5" t="s">
        <v>10</v>
      </c>
      <c r="J5" t="s">
        <v>32</v>
      </c>
      <c r="K5" t="s">
        <v>11</v>
      </c>
    </row>
    <row r="6" spans="1:11" x14ac:dyDescent="0.25">
      <c r="A6" t="s">
        <v>36</v>
      </c>
      <c r="B6">
        <v>70151</v>
      </c>
      <c r="C6" t="s">
        <v>10</v>
      </c>
      <c r="D6" t="s">
        <v>34</v>
      </c>
      <c r="E6" t="s">
        <v>60</v>
      </c>
      <c r="F6" t="s">
        <v>10</v>
      </c>
      <c r="G6" t="s">
        <v>10</v>
      </c>
      <c r="H6" t="s">
        <v>10</v>
      </c>
      <c r="I6" t="s">
        <v>10</v>
      </c>
      <c r="J6" t="s">
        <v>35</v>
      </c>
      <c r="K6" t="s">
        <v>51</v>
      </c>
    </row>
    <row r="7" spans="1:11" x14ac:dyDescent="0.25">
      <c r="A7" t="s">
        <v>39</v>
      </c>
      <c r="B7" t="s">
        <v>61</v>
      </c>
      <c r="C7" t="s">
        <v>10</v>
      </c>
      <c r="D7" t="s">
        <v>62</v>
      </c>
      <c r="E7" t="s">
        <v>60</v>
      </c>
      <c r="F7" t="s">
        <v>10</v>
      </c>
      <c r="G7" t="s">
        <v>10</v>
      </c>
      <c r="H7" t="s">
        <v>10</v>
      </c>
      <c r="I7" t="s">
        <v>10</v>
      </c>
      <c r="J7" t="s">
        <v>38</v>
      </c>
      <c r="K7" t="s">
        <v>63</v>
      </c>
    </row>
    <row r="8" spans="1:11" x14ac:dyDescent="0.25">
      <c r="A8" t="s">
        <v>41</v>
      </c>
      <c r="B8" t="s">
        <v>10</v>
      </c>
      <c r="C8" t="s">
        <v>10</v>
      </c>
      <c r="D8" t="s">
        <v>37</v>
      </c>
      <c r="E8" t="s">
        <v>64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</row>
    <row r="9" spans="1:11" x14ac:dyDescent="0.25">
      <c r="A9" t="s">
        <v>43</v>
      </c>
      <c r="B9" t="s">
        <v>65</v>
      </c>
      <c r="C9" t="s">
        <v>10</v>
      </c>
      <c r="D9" t="s">
        <v>40</v>
      </c>
      <c r="E9" t="s">
        <v>57</v>
      </c>
      <c r="F9" t="s">
        <v>10</v>
      </c>
      <c r="G9" t="s">
        <v>10</v>
      </c>
      <c r="H9" t="s">
        <v>10</v>
      </c>
      <c r="I9" t="s">
        <v>10</v>
      </c>
      <c r="J9" t="s">
        <v>10</v>
      </c>
      <c r="K9" t="s">
        <v>10</v>
      </c>
    </row>
    <row r="10" spans="1:11" x14ac:dyDescent="0.25">
      <c r="A10" t="s">
        <v>45</v>
      </c>
      <c r="B10" t="s">
        <v>66</v>
      </c>
      <c r="C10" t="s">
        <v>10</v>
      </c>
      <c r="D10" t="s">
        <v>42</v>
      </c>
      <c r="E10" s="3">
        <v>45749.080966724534</v>
      </c>
      <c r="F10" t="s">
        <v>10</v>
      </c>
      <c r="G10" t="s">
        <v>10</v>
      </c>
      <c r="H10" t="s">
        <v>10</v>
      </c>
      <c r="I10" t="s">
        <v>10</v>
      </c>
      <c r="J10" t="s">
        <v>10</v>
      </c>
      <c r="K10" t="s">
        <v>10</v>
      </c>
    </row>
    <row r="11" spans="1:11" x14ac:dyDescent="0.25">
      <c r="A11" t="s">
        <v>10</v>
      </c>
      <c r="B11" t="s">
        <v>10</v>
      </c>
      <c r="C11" t="s">
        <v>10</v>
      </c>
      <c r="D11" t="s">
        <v>44</v>
      </c>
      <c r="E11">
        <v>1033</v>
      </c>
      <c r="F11" t="s">
        <v>10</v>
      </c>
      <c r="G11" t="s">
        <v>10</v>
      </c>
      <c r="H11" t="s">
        <v>10</v>
      </c>
      <c r="I11" t="s">
        <v>10</v>
      </c>
      <c r="J11" t="s">
        <v>10</v>
      </c>
      <c r="K11" t="s">
        <v>10</v>
      </c>
    </row>
    <row r="12" spans="1:11" x14ac:dyDescent="0.25">
      <c r="A12" t="s">
        <v>10</v>
      </c>
      <c r="B12" t="s">
        <v>10</v>
      </c>
      <c r="C12" t="s">
        <v>10</v>
      </c>
      <c r="D12" t="s">
        <v>46</v>
      </c>
      <c r="E12" t="s">
        <v>67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  <c r="K12" t="s">
        <v>10</v>
      </c>
    </row>
    <row r="13" spans="1:11" x14ac:dyDescent="0.25">
      <c r="A13" t="s">
        <v>10</v>
      </c>
      <c r="B13" t="s">
        <v>10</v>
      </c>
      <c r="C13" t="s">
        <v>10</v>
      </c>
      <c r="D13" t="s">
        <v>68</v>
      </c>
      <c r="E13" t="s">
        <v>69</v>
      </c>
      <c r="F13" t="s">
        <v>10</v>
      </c>
      <c r="G13" t="s">
        <v>10</v>
      </c>
      <c r="H13" t="s">
        <v>10</v>
      </c>
      <c r="I13" t="s">
        <v>10</v>
      </c>
      <c r="J13" t="s">
        <v>10</v>
      </c>
      <c r="K13" t="s">
        <v>10</v>
      </c>
    </row>
    <row r="14" spans="1:11" x14ac:dyDescent="0.25">
      <c r="A14" t="s">
        <v>10</v>
      </c>
      <c r="B14" t="s">
        <v>10</v>
      </c>
      <c r="C14" t="s">
        <v>10</v>
      </c>
      <c r="D14" t="s">
        <v>70</v>
      </c>
      <c r="E14" t="s">
        <v>71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</row>
    <row r="15" spans="1:11" x14ac:dyDescent="0.25">
      <c r="A15" t="s">
        <v>10</v>
      </c>
      <c r="B15" t="s">
        <v>10</v>
      </c>
      <c r="C15" t="s">
        <v>10</v>
      </c>
      <c r="D15" t="s">
        <v>72</v>
      </c>
      <c r="E15" t="s">
        <v>73</v>
      </c>
      <c r="F15" t="s">
        <v>10</v>
      </c>
      <c r="G15" t="s">
        <v>10</v>
      </c>
      <c r="H15" t="s">
        <v>10</v>
      </c>
      <c r="I15" t="s">
        <v>10</v>
      </c>
      <c r="J15" t="s">
        <v>10</v>
      </c>
      <c r="K15" t="s">
        <v>10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5" x14ac:dyDescent="0.25"/>
  <cols>
    <col min="1" max="2" width="25" customWidth="1"/>
    <col min="3" max="3" width="40" customWidth="1"/>
  </cols>
  <sheetData>
    <row r="1" spans="1:3" x14ac:dyDescent="0.25">
      <c r="A1" s="1" t="s">
        <v>47</v>
      </c>
      <c r="B1" s="1" t="s">
        <v>44</v>
      </c>
      <c r="C1" s="1" t="s">
        <v>13</v>
      </c>
    </row>
    <row r="2" spans="1:3" x14ac:dyDescent="0.25">
      <c r="A2" t="s">
        <v>10</v>
      </c>
      <c r="B2" t="s">
        <v>10</v>
      </c>
      <c r="C2" t="s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F8FF14-A164-43CF-88B0-37E85B07EF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PowerQuery</vt:lpstr>
      <vt:lpstr>DynamicArray</vt:lpstr>
      <vt:lpstr>Data</vt:lpstr>
      <vt:lpstr>CaptionData</vt:lpstr>
      <vt:lpstr>Aggregated Metadata</vt:lpstr>
      <vt:lpstr>TranslationData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Bricco-Meske, Tonya</cp:lastModifiedBy>
  <dcterms:modified xsi:type="dcterms:W3CDTF">2026-03-11T18:23:33Z</dcterms:modified>
</cp:coreProperties>
</file>